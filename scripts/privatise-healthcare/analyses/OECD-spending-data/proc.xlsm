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macs\documents\youtube-scripts\scripts\privatise-healthcare\analyses\OECD-spending-data\"/>
    </mc:Choice>
  </mc:AlternateContent>
  <xr:revisionPtr revIDLastSave="0" documentId="13_ncr:1_{AFF0BF78-C30D-46B3-AE7D-7CE8FFA32812}" xr6:coauthVersionLast="44" xr6:coauthVersionMax="44" xr10:uidLastSave="{00000000-0000-0000-0000-000000000000}"/>
  <bookViews>
    <workbookView xWindow="-120" yWindow="16080" windowWidth="38640" windowHeight="16440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5" i="1" l="1"/>
  <c r="E7" i="1"/>
  <c r="E12" i="1"/>
  <c r="E39" i="1"/>
  <c r="E13" i="1"/>
  <c r="E4" i="1"/>
  <c r="E37" i="1"/>
  <c r="E43" i="1"/>
  <c r="E30" i="1"/>
  <c r="E25" i="1"/>
  <c r="E6" i="1"/>
  <c r="E10" i="1"/>
  <c r="E24" i="1"/>
  <c r="E32" i="1"/>
  <c r="E20" i="1"/>
  <c r="E14" i="1"/>
  <c r="E19" i="1"/>
  <c r="E33" i="1"/>
  <c r="E38" i="1"/>
  <c r="E36" i="1"/>
  <c r="E15" i="1"/>
  <c r="E18" i="1"/>
  <c r="E29" i="1"/>
  <c r="E23" i="1"/>
  <c r="E17" i="1"/>
  <c r="E26" i="1"/>
  <c r="E31" i="1"/>
  <c r="E11" i="1"/>
  <c r="E40" i="1"/>
  <c r="E44" i="1"/>
  <c r="E21" i="1"/>
  <c r="E9" i="1"/>
  <c r="E5" i="1"/>
  <c r="E22" i="1"/>
  <c r="E35" i="1"/>
  <c r="E27" i="1"/>
  <c r="E41" i="1"/>
  <c r="E34" i="1"/>
  <c r="E28" i="1"/>
  <c r="E8" i="1"/>
  <c r="E42" i="1"/>
  <c r="E3" i="1"/>
  <c r="E16" i="1"/>
</calcChain>
</file>

<file path=xl/sharedStrings.xml><?xml version="1.0" encoding="utf-8"?>
<sst xmlns="http://schemas.openxmlformats.org/spreadsheetml/2006/main" count="48" uniqueCount="48">
  <si>
    <t>Australia</t>
  </si>
  <si>
    <t>Austria</t>
  </si>
  <si>
    <t>Belgium</t>
  </si>
  <si>
    <t>Bulgaria</t>
  </si>
  <si>
    <t>Canada</t>
  </si>
  <si>
    <t>Switzerland</t>
  </si>
  <si>
    <t>Colombia</t>
  </si>
  <si>
    <t>Cyprus</t>
  </si>
  <si>
    <t>Czech Republic</t>
  </si>
  <si>
    <t>Denmark</t>
  </si>
  <si>
    <t>Chile</t>
  </si>
  <si>
    <t>Germany</t>
  </si>
  <si>
    <t>Spain</t>
  </si>
  <si>
    <t>Estonia</t>
  </si>
  <si>
    <t>Finland</t>
  </si>
  <si>
    <t>France</t>
  </si>
  <si>
    <t>United Kingdom</t>
  </si>
  <si>
    <t>Greece</t>
  </si>
  <si>
    <t>Croatia</t>
  </si>
  <si>
    <t>Hungary</t>
  </si>
  <si>
    <t>Ireland</t>
  </si>
  <si>
    <t>Iceland</t>
  </si>
  <si>
    <t>Israel</t>
  </si>
  <si>
    <t>Italy</t>
  </si>
  <si>
    <t>Japan</t>
  </si>
  <si>
    <t>Republic of Korea</t>
  </si>
  <si>
    <t>Lithuania</t>
  </si>
  <si>
    <t>Luxembourg</t>
  </si>
  <si>
    <t>Latvia</t>
  </si>
  <si>
    <t>Mexico</t>
  </si>
  <si>
    <t>Malta</t>
  </si>
  <si>
    <t>Netherlands</t>
  </si>
  <si>
    <t>Norway</t>
  </si>
  <si>
    <t>New Zealand</t>
  </si>
  <si>
    <t>Poland</t>
  </si>
  <si>
    <t>Portugal</t>
  </si>
  <si>
    <t>Romania</t>
  </si>
  <si>
    <t>Slovakia</t>
  </si>
  <si>
    <t>Slovenia</t>
  </si>
  <si>
    <t>Sweden</t>
  </si>
  <si>
    <t>Turkey</t>
  </si>
  <si>
    <t>United States of America</t>
  </si>
  <si>
    <t>Total</t>
  </si>
  <si>
    <t>Country</t>
  </si>
  <si>
    <t>US Under Lodge Practice*</t>
  </si>
  <si>
    <t>*David T. Beito, From Mutual Aid to the Welfare State: Fraternal Societies and Social Services, 1890-1967 (Chapel Hill: University of North Carolina Press, 2000): 117</t>
  </si>
  <si>
    <t>Public (Compulsary)</t>
  </si>
  <si>
    <t>Private (Voluntary)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</si>
</sst>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OECD Countries</a:t>
            </a:r>
            <a:r>
              <a:rPr lang="en-GB" baseline="0"/>
              <a:t>' Yearly Healthcare Spending Per Year Per Capita 2019 (USD)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504865204383728E-2"/>
          <c:y val="5.6816980245711336E-2"/>
          <c:w val="0.96862895508596247"/>
          <c:h val="0.8782405675092194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Public (Compulsary)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data!$B$3:$B$45</c:f>
              <c:strCache>
                <c:ptCount val="43"/>
                <c:pt idx="0">
                  <c:v>United States of America</c:v>
                </c:pt>
                <c:pt idx="1">
                  <c:v>Switzerland</c:v>
                </c:pt>
                <c:pt idx="2">
                  <c:v>Norway</c:v>
                </c:pt>
                <c:pt idx="3">
                  <c:v>Germany</c:v>
                </c:pt>
                <c:pt idx="4">
                  <c:v>Austria</c:v>
                </c:pt>
                <c:pt idx="5">
                  <c:v>Sweden</c:v>
                </c:pt>
                <c:pt idx="6">
                  <c:v>Netherlands</c:v>
                </c:pt>
                <c:pt idx="7">
                  <c:v>Denmark</c:v>
                </c:pt>
                <c:pt idx="8">
                  <c:v>Luxembourg</c:v>
                </c:pt>
                <c:pt idx="9">
                  <c:v>Belgium</c:v>
                </c:pt>
                <c:pt idx="10">
                  <c:v>Canada</c:v>
                </c:pt>
                <c:pt idx="11">
                  <c:v>France</c:v>
                </c:pt>
                <c:pt idx="12">
                  <c:v>Ireland</c:v>
                </c:pt>
                <c:pt idx="13">
                  <c:v>Australia</c:v>
                </c:pt>
                <c:pt idx="14">
                  <c:v>Japan</c:v>
                </c:pt>
                <c:pt idx="15">
                  <c:v>Iceland</c:v>
                </c:pt>
                <c:pt idx="16">
                  <c:v>United Kingdom</c:v>
                </c:pt>
                <c:pt idx="17">
                  <c:v>Finland</c:v>
                </c:pt>
                <c:pt idx="18">
                  <c:v>Malta</c:v>
                </c:pt>
                <c:pt idx="19">
                  <c:v>New Zealand</c:v>
                </c:pt>
                <c:pt idx="20">
                  <c:v>Italy</c:v>
                </c:pt>
                <c:pt idx="21">
                  <c:v>Spain</c:v>
                </c:pt>
                <c:pt idx="22">
                  <c:v>Czech Republic</c:v>
                </c:pt>
                <c:pt idx="23">
                  <c:v>Republic of Korea</c:v>
                </c:pt>
                <c:pt idx="24">
                  <c:v>Portugal</c:v>
                </c:pt>
                <c:pt idx="25">
                  <c:v>Slovenia</c:v>
                </c:pt>
                <c:pt idx="26">
                  <c:v>Israel</c:v>
                </c:pt>
                <c:pt idx="27">
                  <c:v>Cyprus</c:v>
                </c:pt>
                <c:pt idx="28">
                  <c:v>Lithuania</c:v>
                </c:pt>
                <c:pt idx="29">
                  <c:v>Estonia</c:v>
                </c:pt>
                <c:pt idx="30">
                  <c:v>Greece</c:v>
                </c:pt>
                <c:pt idx="31">
                  <c:v>Slovakia</c:v>
                </c:pt>
                <c:pt idx="32">
                  <c:v>Poland</c:v>
                </c:pt>
                <c:pt idx="33">
                  <c:v>Hungary</c:v>
                </c:pt>
                <c:pt idx="34">
                  <c:v>Chile</c:v>
                </c:pt>
                <c:pt idx="35">
                  <c:v>Croatia</c:v>
                </c:pt>
                <c:pt idx="36">
                  <c:v>Bulgaria</c:v>
                </c:pt>
                <c:pt idx="37">
                  <c:v>Latvia</c:v>
                </c:pt>
                <c:pt idx="38">
                  <c:v>Romania</c:v>
                </c:pt>
                <c:pt idx="39">
                  <c:v>Turkey</c:v>
                </c:pt>
                <c:pt idx="40">
                  <c:v>Colombia</c:v>
                </c:pt>
                <c:pt idx="41">
                  <c:v>Mexico</c:v>
                </c:pt>
                <c:pt idx="42">
                  <c:v>US Under Lodge Practice*</c:v>
                </c:pt>
              </c:strCache>
            </c:strRef>
          </c:cat>
          <c:val>
            <c:numRef>
              <c:f>data!$C$3:$C$45</c:f>
              <c:numCache>
                <c:formatCode>_-[$$-409]* #,##0.00_ ;_-[$$-409]* \-#,##0.00\ ;_-[$$-409]* "-"??_ ;_-@_ </c:formatCode>
                <c:ptCount val="43"/>
                <c:pt idx="0">
                  <c:v>9386.4590000000007</c:v>
                </c:pt>
                <c:pt idx="1">
                  <c:v>4987.6139999999996</c:v>
                </c:pt>
                <c:pt idx="2">
                  <c:v>5673.1040000000003</c:v>
                </c:pt>
                <c:pt idx="3">
                  <c:v>5648.1480000000001</c:v>
                </c:pt>
                <c:pt idx="4">
                  <c:v>4402.3069999999998</c:v>
                </c:pt>
                <c:pt idx="5">
                  <c:v>4928.009</c:v>
                </c:pt>
                <c:pt idx="6">
                  <c:v>4766.5860000000002</c:v>
                </c:pt>
                <c:pt idx="7">
                  <c:v>4663.3789999999999</c:v>
                </c:pt>
                <c:pt idx="8">
                  <c:v>4697.0360000000001</c:v>
                </c:pt>
                <c:pt idx="9">
                  <c:v>4124.7039999999997</c:v>
                </c:pt>
                <c:pt idx="10">
                  <c:v>3815.0909999999999</c:v>
                </c:pt>
                <c:pt idx="11">
                  <c:v>4501.3599999999997</c:v>
                </c:pt>
                <c:pt idx="12">
                  <c:v>3918.5619999999999</c:v>
                </c:pt>
                <c:pt idx="13">
                  <c:v>3495.183</c:v>
                </c:pt>
                <c:pt idx="14">
                  <c:v>4063.9780000000001</c:v>
                </c:pt>
                <c:pt idx="15">
                  <c:v>3988.4140000000002</c:v>
                </c:pt>
                <c:pt idx="16">
                  <c:v>3619.5079999999998</c:v>
                </c:pt>
                <c:pt idx="17">
                  <c:v>3536.4580000000001</c:v>
                </c:pt>
                <c:pt idx="18">
                  <c:v>2770.7170000000001</c:v>
                </c:pt>
                <c:pt idx="19">
                  <c:v>3343.3620000000001</c:v>
                </c:pt>
                <c:pt idx="20">
                  <c:v>2705.723</c:v>
                </c:pt>
                <c:pt idx="21">
                  <c:v>2559.598</c:v>
                </c:pt>
                <c:pt idx="22">
                  <c:v>2856.183</c:v>
                </c:pt>
                <c:pt idx="23">
                  <c:v>2057.395</c:v>
                </c:pt>
                <c:pt idx="24">
                  <c:v>2069.0129999999999</c:v>
                </c:pt>
                <c:pt idx="25">
                  <c:v>2314.1419999999998</c:v>
                </c:pt>
                <c:pt idx="26">
                  <c:v>1889.2470000000001</c:v>
                </c:pt>
                <c:pt idx="27">
                  <c:v>1268.829</c:v>
                </c:pt>
                <c:pt idx="28">
                  <c:v>1768.816</c:v>
                </c:pt>
                <c:pt idx="29">
                  <c:v>1916.4069999999999</c:v>
                </c:pt>
                <c:pt idx="30">
                  <c:v>1411.934</c:v>
                </c:pt>
                <c:pt idx="31">
                  <c:v>1911.8720000000001</c:v>
                </c:pt>
                <c:pt idx="32">
                  <c:v>1568.0719999999999</c:v>
                </c:pt>
                <c:pt idx="33">
                  <c:v>1542.2619999999999</c:v>
                </c:pt>
                <c:pt idx="34">
                  <c:v>1280.6130000000001</c:v>
                </c:pt>
                <c:pt idx="35">
                  <c:v>1666.643</c:v>
                </c:pt>
                <c:pt idx="36">
                  <c:v>1211.5540000000001</c:v>
                </c:pt>
                <c:pt idx="37">
                  <c:v>1179.5329999999999</c:v>
                </c:pt>
                <c:pt idx="38">
                  <c:v>1530.0650000000001</c:v>
                </c:pt>
                <c:pt idx="39">
                  <c:v>1040.712</c:v>
                </c:pt>
                <c:pt idx="40">
                  <c:v>896.03899999999999</c:v>
                </c:pt>
                <c:pt idx="41">
                  <c:v>582.97199999999998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F-4E47-B124-8CD096C658CF}"/>
            </c:ext>
          </c:extLst>
        </c:ser>
        <c:ser>
          <c:idx val="1"/>
          <c:order val="1"/>
          <c:tx>
            <c:strRef>
              <c:f>data!$D$2</c:f>
              <c:strCache>
                <c:ptCount val="1"/>
                <c:pt idx="0">
                  <c:v>Private (Voluntary)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data!$B$3:$B$45</c:f>
              <c:strCache>
                <c:ptCount val="43"/>
                <c:pt idx="0">
                  <c:v>United States of America</c:v>
                </c:pt>
                <c:pt idx="1">
                  <c:v>Switzerland</c:v>
                </c:pt>
                <c:pt idx="2">
                  <c:v>Norway</c:v>
                </c:pt>
                <c:pt idx="3">
                  <c:v>Germany</c:v>
                </c:pt>
                <c:pt idx="4">
                  <c:v>Austria</c:v>
                </c:pt>
                <c:pt idx="5">
                  <c:v>Sweden</c:v>
                </c:pt>
                <c:pt idx="6">
                  <c:v>Netherlands</c:v>
                </c:pt>
                <c:pt idx="7">
                  <c:v>Denmark</c:v>
                </c:pt>
                <c:pt idx="8">
                  <c:v>Luxembourg</c:v>
                </c:pt>
                <c:pt idx="9">
                  <c:v>Belgium</c:v>
                </c:pt>
                <c:pt idx="10">
                  <c:v>Canada</c:v>
                </c:pt>
                <c:pt idx="11">
                  <c:v>France</c:v>
                </c:pt>
                <c:pt idx="12">
                  <c:v>Ireland</c:v>
                </c:pt>
                <c:pt idx="13">
                  <c:v>Australia</c:v>
                </c:pt>
                <c:pt idx="14">
                  <c:v>Japan</c:v>
                </c:pt>
                <c:pt idx="15">
                  <c:v>Iceland</c:v>
                </c:pt>
                <c:pt idx="16">
                  <c:v>United Kingdom</c:v>
                </c:pt>
                <c:pt idx="17">
                  <c:v>Finland</c:v>
                </c:pt>
                <c:pt idx="18">
                  <c:v>Malta</c:v>
                </c:pt>
                <c:pt idx="19">
                  <c:v>New Zealand</c:v>
                </c:pt>
                <c:pt idx="20">
                  <c:v>Italy</c:v>
                </c:pt>
                <c:pt idx="21">
                  <c:v>Spain</c:v>
                </c:pt>
                <c:pt idx="22">
                  <c:v>Czech Republic</c:v>
                </c:pt>
                <c:pt idx="23">
                  <c:v>Republic of Korea</c:v>
                </c:pt>
                <c:pt idx="24">
                  <c:v>Portugal</c:v>
                </c:pt>
                <c:pt idx="25">
                  <c:v>Slovenia</c:v>
                </c:pt>
                <c:pt idx="26">
                  <c:v>Israel</c:v>
                </c:pt>
                <c:pt idx="27">
                  <c:v>Cyprus</c:v>
                </c:pt>
                <c:pt idx="28">
                  <c:v>Lithuania</c:v>
                </c:pt>
                <c:pt idx="29">
                  <c:v>Estonia</c:v>
                </c:pt>
                <c:pt idx="30">
                  <c:v>Greece</c:v>
                </c:pt>
                <c:pt idx="31">
                  <c:v>Slovakia</c:v>
                </c:pt>
                <c:pt idx="32">
                  <c:v>Poland</c:v>
                </c:pt>
                <c:pt idx="33">
                  <c:v>Hungary</c:v>
                </c:pt>
                <c:pt idx="34">
                  <c:v>Chile</c:v>
                </c:pt>
                <c:pt idx="35">
                  <c:v>Croatia</c:v>
                </c:pt>
                <c:pt idx="36">
                  <c:v>Bulgaria</c:v>
                </c:pt>
                <c:pt idx="37">
                  <c:v>Latvia</c:v>
                </c:pt>
                <c:pt idx="38">
                  <c:v>Romania</c:v>
                </c:pt>
                <c:pt idx="39">
                  <c:v>Turkey</c:v>
                </c:pt>
                <c:pt idx="40">
                  <c:v>Colombia</c:v>
                </c:pt>
                <c:pt idx="41">
                  <c:v>Mexico</c:v>
                </c:pt>
                <c:pt idx="42">
                  <c:v>US Under Lodge Practice*</c:v>
                </c:pt>
              </c:strCache>
            </c:strRef>
          </c:cat>
          <c:val>
            <c:numRef>
              <c:f>data!$D$3:$D$45</c:f>
              <c:numCache>
                <c:formatCode>_-[$$-409]* #,##0.00_ ;_-[$$-409]* \-#,##0.00\ ;_-[$$-409]* "-"??_ ;_-@_ </c:formatCode>
                <c:ptCount val="43"/>
                <c:pt idx="0">
                  <c:v>1685.2550000000001</c:v>
                </c:pt>
                <c:pt idx="1">
                  <c:v>2744.7979999999998</c:v>
                </c:pt>
                <c:pt idx="2">
                  <c:v>973.60900000000004</c:v>
                </c:pt>
                <c:pt idx="3">
                  <c:v>997.60900000000004</c:v>
                </c:pt>
                <c:pt idx="4">
                  <c:v>1448.748</c:v>
                </c:pt>
                <c:pt idx="5">
                  <c:v>854.28300000000002</c:v>
                </c:pt>
                <c:pt idx="6">
                  <c:v>998.51199999999994</c:v>
                </c:pt>
                <c:pt idx="7">
                  <c:v>904.52</c:v>
                </c:pt>
                <c:pt idx="8">
                  <c:v>782.74599999999998</c:v>
                </c:pt>
                <c:pt idx="9">
                  <c:v>1303.2529999999999</c:v>
                </c:pt>
                <c:pt idx="10">
                  <c:v>1603.2919999999999</c:v>
                </c:pt>
                <c:pt idx="11">
                  <c:v>874.33900000000006</c:v>
                </c:pt>
                <c:pt idx="12">
                  <c:v>1356.981</c:v>
                </c:pt>
                <c:pt idx="13">
                  <c:v>1692.2360000000001</c:v>
                </c:pt>
                <c:pt idx="14">
                  <c:v>758.83399999999995</c:v>
                </c:pt>
                <c:pt idx="15">
                  <c:v>823.01</c:v>
                </c:pt>
                <c:pt idx="16">
                  <c:v>1033.549</c:v>
                </c:pt>
                <c:pt idx="17">
                  <c:v>1041.962</c:v>
                </c:pt>
                <c:pt idx="18">
                  <c:v>1491.502</c:v>
                </c:pt>
                <c:pt idx="19">
                  <c:v>860.62599999999998</c:v>
                </c:pt>
                <c:pt idx="20">
                  <c:v>943.48299999999995</c:v>
                </c:pt>
                <c:pt idx="21">
                  <c:v>1056.8610000000001</c:v>
                </c:pt>
                <c:pt idx="22">
                  <c:v>571.72699999999998</c:v>
                </c:pt>
                <c:pt idx="23">
                  <c:v>1326.7639999999999</c:v>
                </c:pt>
                <c:pt idx="24">
                  <c:v>1309.615</c:v>
                </c:pt>
                <c:pt idx="25">
                  <c:v>909.87699999999995</c:v>
                </c:pt>
                <c:pt idx="26">
                  <c:v>990.52599999999995</c:v>
                </c:pt>
                <c:pt idx="27">
                  <c:v>1521.4359999999999</c:v>
                </c:pt>
                <c:pt idx="28">
                  <c:v>868.702</c:v>
                </c:pt>
                <c:pt idx="29">
                  <c:v>662.38599999999997</c:v>
                </c:pt>
                <c:pt idx="30">
                  <c:v>970.16399999999999</c:v>
                </c:pt>
                <c:pt idx="31">
                  <c:v>441.77199999999999</c:v>
                </c:pt>
                <c:pt idx="32">
                  <c:v>661.529</c:v>
                </c:pt>
                <c:pt idx="33">
                  <c:v>680.16399999999999</c:v>
                </c:pt>
                <c:pt idx="34">
                  <c:v>878.74099999999999</c:v>
                </c:pt>
                <c:pt idx="35">
                  <c:v>341.25700000000001</c:v>
                </c:pt>
                <c:pt idx="36">
                  <c:v>784.88699999999994</c:v>
                </c:pt>
                <c:pt idx="37">
                  <c:v>793.03899999999999</c:v>
                </c:pt>
                <c:pt idx="38">
                  <c:v>376.745</c:v>
                </c:pt>
                <c:pt idx="39">
                  <c:v>296.46199999999999</c:v>
                </c:pt>
                <c:pt idx="40">
                  <c:v>316.565</c:v>
                </c:pt>
                <c:pt idx="41">
                  <c:v>570.60900000000004</c:v>
                </c:pt>
                <c:pt idx="4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9F-4E47-B124-8CD096C65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2058719"/>
        <c:axId val="203491583"/>
      </c:barChart>
      <c:lineChart>
        <c:grouping val="standard"/>
        <c:varyColors val="0"/>
        <c:ser>
          <c:idx val="2"/>
          <c:order val="2"/>
          <c:tx>
            <c:strRef>
              <c:f>data!$E$2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data!$B$3:$B$45</c:f>
              <c:strCache>
                <c:ptCount val="43"/>
                <c:pt idx="0">
                  <c:v>United States of America</c:v>
                </c:pt>
                <c:pt idx="1">
                  <c:v>Switzerland</c:v>
                </c:pt>
                <c:pt idx="2">
                  <c:v>Norway</c:v>
                </c:pt>
                <c:pt idx="3">
                  <c:v>Germany</c:v>
                </c:pt>
                <c:pt idx="4">
                  <c:v>Austria</c:v>
                </c:pt>
                <c:pt idx="5">
                  <c:v>Sweden</c:v>
                </c:pt>
                <c:pt idx="6">
                  <c:v>Netherlands</c:v>
                </c:pt>
                <c:pt idx="7">
                  <c:v>Denmark</c:v>
                </c:pt>
                <c:pt idx="8">
                  <c:v>Luxembourg</c:v>
                </c:pt>
                <c:pt idx="9">
                  <c:v>Belgium</c:v>
                </c:pt>
                <c:pt idx="10">
                  <c:v>Canada</c:v>
                </c:pt>
                <c:pt idx="11">
                  <c:v>France</c:v>
                </c:pt>
                <c:pt idx="12">
                  <c:v>Ireland</c:v>
                </c:pt>
                <c:pt idx="13">
                  <c:v>Australia</c:v>
                </c:pt>
                <c:pt idx="14">
                  <c:v>Japan</c:v>
                </c:pt>
                <c:pt idx="15">
                  <c:v>Iceland</c:v>
                </c:pt>
                <c:pt idx="16">
                  <c:v>United Kingdom</c:v>
                </c:pt>
                <c:pt idx="17">
                  <c:v>Finland</c:v>
                </c:pt>
                <c:pt idx="18">
                  <c:v>Malta</c:v>
                </c:pt>
                <c:pt idx="19">
                  <c:v>New Zealand</c:v>
                </c:pt>
                <c:pt idx="20">
                  <c:v>Italy</c:v>
                </c:pt>
                <c:pt idx="21">
                  <c:v>Spain</c:v>
                </c:pt>
                <c:pt idx="22">
                  <c:v>Czech Republic</c:v>
                </c:pt>
                <c:pt idx="23">
                  <c:v>Republic of Korea</c:v>
                </c:pt>
                <c:pt idx="24">
                  <c:v>Portugal</c:v>
                </c:pt>
                <c:pt idx="25">
                  <c:v>Slovenia</c:v>
                </c:pt>
                <c:pt idx="26">
                  <c:v>Israel</c:v>
                </c:pt>
                <c:pt idx="27">
                  <c:v>Cyprus</c:v>
                </c:pt>
                <c:pt idx="28">
                  <c:v>Lithuania</c:v>
                </c:pt>
                <c:pt idx="29">
                  <c:v>Estonia</c:v>
                </c:pt>
                <c:pt idx="30">
                  <c:v>Greece</c:v>
                </c:pt>
                <c:pt idx="31">
                  <c:v>Slovakia</c:v>
                </c:pt>
                <c:pt idx="32">
                  <c:v>Poland</c:v>
                </c:pt>
                <c:pt idx="33">
                  <c:v>Hungary</c:v>
                </c:pt>
                <c:pt idx="34">
                  <c:v>Chile</c:v>
                </c:pt>
                <c:pt idx="35">
                  <c:v>Croatia</c:v>
                </c:pt>
                <c:pt idx="36">
                  <c:v>Bulgaria</c:v>
                </c:pt>
                <c:pt idx="37">
                  <c:v>Latvia</c:v>
                </c:pt>
                <c:pt idx="38">
                  <c:v>Romania</c:v>
                </c:pt>
                <c:pt idx="39">
                  <c:v>Turkey</c:v>
                </c:pt>
                <c:pt idx="40">
                  <c:v>Colombia</c:v>
                </c:pt>
                <c:pt idx="41">
                  <c:v>Mexico</c:v>
                </c:pt>
                <c:pt idx="42">
                  <c:v>US Under Lodge Practice*</c:v>
                </c:pt>
              </c:strCache>
            </c:strRef>
          </c:cat>
          <c:val>
            <c:numRef>
              <c:f>data!$E$3:$E$45</c:f>
              <c:numCache>
                <c:formatCode>_-[$$-409]* #,##0.00_ ;_-[$$-409]* \-#,##0.00\ ;_-[$$-409]* "-"??_ ;_-@_ </c:formatCode>
                <c:ptCount val="43"/>
                <c:pt idx="0">
                  <c:v>11071.714</c:v>
                </c:pt>
                <c:pt idx="1">
                  <c:v>7732.4119999999994</c:v>
                </c:pt>
                <c:pt idx="2">
                  <c:v>6646.7130000000006</c:v>
                </c:pt>
                <c:pt idx="3">
                  <c:v>6645.7570000000005</c:v>
                </c:pt>
                <c:pt idx="4">
                  <c:v>5851.0550000000003</c:v>
                </c:pt>
                <c:pt idx="5">
                  <c:v>5782.2920000000004</c:v>
                </c:pt>
                <c:pt idx="6">
                  <c:v>5765.098</c:v>
                </c:pt>
                <c:pt idx="7">
                  <c:v>5567.8989999999994</c:v>
                </c:pt>
                <c:pt idx="8">
                  <c:v>5479.7820000000002</c:v>
                </c:pt>
                <c:pt idx="9">
                  <c:v>5427.9569999999994</c:v>
                </c:pt>
                <c:pt idx="10">
                  <c:v>5418.3829999999998</c:v>
                </c:pt>
                <c:pt idx="11">
                  <c:v>5375.6989999999996</c:v>
                </c:pt>
                <c:pt idx="12">
                  <c:v>5275.5429999999997</c:v>
                </c:pt>
                <c:pt idx="13">
                  <c:v>5187.4189999999999</c:v>
                </c:pt>
                <c:pt idx="14">
                  <c:v>4822.8119999999999</c:v>
                </c:pt>
                <c:pt idx="15">
                  <c:v>4811.424</c:v>
                </c:pt>
                <c:pt idx="16">
                  <c:v>4653.0569999999998</c:v>
                </c:pt>
                <c:pt idx="17">
                  <c:v>4578.42</c:v>
                </c:pt>
                <c:pt idx="18">
                  <c:v>4262.2190000000001</c:v>
                </c:pt>
                <c:pt idx="19">
                  <c:v>4203.9880000000003</c:v>
                </c:pt>
                <c:pt idx="20">
                  <c:v>3649.2060000000001</c:v>
                </c:pt>
                <c:pt idx="21">
                  <c:v>3616.4589999999998</c:v>
                </c:pt>
                <c:pt idx="22">
                  <c:v>3427.91</c:v>
                </c:pt>
                <c:pt idx="23">
                  <c:v>3384.1589999999997</c:v>
                </c:pt>
                <c:pt idx="24">
                  <c:v>3378.6279999999997</c:v>
                </c:pt>
                <c:pt idx="25">
                  <c:v>3224.0189999999998</c:v>
                </c:pt>
                <c:pt idx="26">
                  <c:v>2879.7730000000001</c:v>
                </c:pt>
                <c:pt idx="27">
                  <c:v>2790.2649999999999</c:v>
                </c:pt>
                <c:pt idx="28">
                  <c:v>2637.518</c:v>
                </c:pt>
                <c:pt idx="29">
                  <c:v>2578.7929999999997</c:v>
                </c:pt>
                <c:pt idx="30">
                  <c:v>2382.098</c:v>
                </c:pt>
                <c:pt idx="31">
                  <c:v>2353.6440000000002</c:v>
                </c:pt>
                <c:pt idx="32">
                  <c:v>2229.6009999999997</c:v>
                </c:pt>
                <c:pt idx="33">
                  <c:v>2222.4259999999999</c:v>
                </c:pt>
                <c:pt idx="34">
                  <c:v>2159.3540000000003</c:v>
                </c:pt>
                <c:pt idx="35">
                  <c:v>2007.9</c:v>
                </c:pt>
                <c:pt idx="36">
                  <c:v>1996.441</c:v>
                </c:pt>
                <c:pt idx="37">
                  <c:v>1972.5719999999999</c:v>
                </c:pt>
                <c:pt idx="38">
                  <c:v>1906.81</c:v>
                </c:pt>
                <c:pt idx="39">
                  <c:v>1337.174</c:v>
                </c:pt>
                <c:pt idx="40">
                  <c:v>1212.604</c:v>
                </c:pt>
                <c:pt idx="41">
                  <c:v>1153.5810000000001</c:v>
                </c:pt>
                <c:pt idx="4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E47-B124-8CD096C65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058719"/>
        <c:axId val="203491583"/>
      </c:lineChart>
      <c:catAx>
        <c:axId val="2012058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91583"/>
        <c:crosses val="autoZero"/>
        <c:auto val="1"/>
        <c:lblAlgn val="ctr"/>
        <c:lblOffset val="100"/>
        <c:noMultiLvlLbl val="0"/>
      </c:catAx>
      <c:valAx>
        <c:axId val="20349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05871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5776365010433195"/>
          <c:y val="3.06492494190965E-2"/>
          <c:w val="8.6205924621615554E-2"/>
          <c:h val="1.6106051609496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 horizontalDpi="360" verticalDpi="360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OECD Countries</a:t>
            </a:r>
            <a:r>
              <a:rPr lang="en-GB" baseline="0"/>
              <a:t>' Yearly Healthcare Spending Per Year Per Capita 2019 (USD)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504865204383728E-2"/>
          <c:y val="7.6650366448157925E-2"/>
          <c:w val="0.96862895508596247"/>
          <c:h val="0.8309893651402592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Public (Compulsary)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data!$B$3:$B$45</c15:sqref>
                  </c15:fullRef>
                </c:ext>
              </c:extLst>
              <c:f>(data!$B$3:$B$22,data!$B$45)</c:f>
              <c:strCache>
                <c:ptCount val="21"/>
                <c:pt idx="0">
                  <c:v>United States of America</c:v>
                </c:pt>
                <c:pt idx="1">
                  <c:v>Switzerland</c:v>
                </c:pt>
                <c:pt idx="2">
                  <c:v>Norway</c:v>
                </c:pt>
                <c:pt idx="3">
                  <c:v>Germany</c:v>
                </c:pt>
                <c:pt idx="4">
                  <c:v>Austria</c:v>
                </c:pt>
                <c:pt idx="5">
                  <c:v>Sweden</c:v>
                </c:pt>
                <c:pt idx="6">
                  <c:v>Netherlands</c:v>
                </c:pt>
                <c:pt idx="7">
                  <c:v>Denmark</c:v>
                </c:pt>
                <c:pt idx="8">
                  <c:v>Luxembourg</c:v>
                </c:pt>
                <c:pt idx="9">
                  <c:v>Belgium</c:v>
                </c:pt>
                <c:pt idx="10">
                  <c:v>Canada</c:v>
                </c:pt>
                <c:pt idx="11">
                  <c:v>France</c:v>
                </c:pt>
                <c:pt idx="12">
                  <c:v>Ireland</c:v>
                </c:pt>
                <c:pt idx="13">
                  <c:v>Australia</c:v>
                </c:pt>
                <c:pt idx="14">
                  <c:v>Japan</c:v>
                </c:pt>
                <c:pt idx="15">
                  <c:v>Iceland</c:v>
                </c:pt>
                <c:pt idx="16">
                  <c:v>United Kingdom</c:v>
                </c:pt>
                <c:pt idx="17">
                  <c:v>Finland</c:v>
                </c:pt>
                <c:pt idx="18">
                  <c:v>Malta</c:v>
                </c:pt>
                <c:pt idx="19">
                  <c:v>New Zealand</c:v>
                </c:pt>
                <c:pt idx="20">
                  <c:v>US Under Lodge Practice*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data!$C$3:$C$45</c15:sqref>
                  </c15:fullRef>
                </c:ext>
              </c:extLst>
              <c:f>(data!$C$3:$C$22,data!$C$45)</c:f>
              <c:numCache>
                <c:formatCode>_-[$$-409]* #,##0.00_ ;_-[$$-409]* \-#,##0.00\ ;_-[$$-409]* "-"??_ ;_-@_ </c:formatCode>
                <c:ptCount val="21"/>
                <c:pt idx="0">
                  <c:v>9386.4590000000007</c:v>
                </c:pt>
                <c:pt idx="1">
                  <c:v>4987.6139999999996</c:v>
                </c:pt>
                <c:pt idx="2">
                  <c:v>5673.1040000000003</c:v>
                </c:pt>
                <c:pt idx="3">
                  <c:v>5648.1480000000001</c:v>
                </c:pt>
                <c:pt idx="4">
                  <c:v>4402.3069999999998</c:v>
                </c:pt>
                <c:pt idx="5">
                  <c:v>4928.009</c:v>
                </c:pt>
                <c:pt idx="6">
                  <c:v>4766.5860000000002</c:v>
                </c:pt>
                <c:pt idx="7">
                  <c:v>4663.3789999999999</c:v>
                </c:pt>
                <c:pt idx="8">
                  <c:v>4697.0360000000001</c:v>
                </c:pt>
                <c:pt idx="9">
                  <c:v>4124.7039999999997</c:v>
                </c:pt>
                <c:pt idx="10">
                  <c:v>3815.0909999999999</c:v>
                </c:pt>
                <c:pt idx="11">
                  <c:v>4501.3599999999997</c:v>
                </c:pt>
                <c:pt idx="12">
                  <c:v>3918.5619999999999</c:v>
                </c:pt>
                <c:pt idx="13">
                  <c:v>3495.183</c:v>
                </c:pt>
                <c:pt idx="14">
                  <c:v>4063.9780000000001</c:v>
                </c:pt>
                <c:pt idx="15">
                  <c:v>3988.4140000000002</c:v>
                </c:pt>
                <c:pt idx="16">
                  <c:v>3619.5079999999998</c:v>
                </c:pt>
                <c:pt idx="17">
                  <c:v>3536.4580000000001</c:v>
                </c:pt>
                <c:pt idx="18">
                  <c:v>2770.7170000000001</c:v>
                </c:pt>
                <c:pt idx="19">
                  <c:v>3343.3620000000001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E-42DA-8D61-AB00CDA554D4}"/>
            </c:ext>
          </c:extLst>
        </c:ser>
        <c:ser>
          <c:idx val="1"/>
          <c:order val="1"/>
          <c:tx>
            <c:strRef>
              <c:f>data!$D$2</c:f>
              <c:strCache>
                <c:ptCount val="1"/>
                <c:pt idx="0">
                  <c:v>Private (Voluntary)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data!$B$3:$B$45</c15:sqref>
                  </c15:fullRef>
                </c:ext>
              </c:extLst>
              <c:f>(data!$B$3:$B$22,data!$B$45)</c:f>
              <c:strCache>
                <c:ptCount val="21"/>
                <c:pt idx="0">
                  <c:v>United States of America</c:v>
                </c:pt>
                <c:pt idx="1">
                  <c:v>Switzerland</c:v>
                </c:pt>
                <c:pt idx="2">
                  <c:v>Norway</c:v>
                </c:pt>
                <c:pt idx="3">
                  <c:v>Germany</c:v>
                </c:pt>
                <c:pt idx="4">
                  <c:v>Austria</c:v>
                </c:pt>
                <c:pt idx="5">
                  <c:v>Sweden</c:v>
                </c:pt>
                <c:pt idx="6">
                  <c:v>Netherlands</c:v>
                </c:pt>
                <c:pt idx="7">
                  <c:v>Denmark</c:v>
                </c:pt>
                <c:pt idx="8">
                  <c:v>Luxembourg</c:v>
                </c:pt>
                <c:pt idx="9">
                  <c:v>Belgium</c:v>
                </c:pt>
                <c:pt idx="10">
                  <c:v>Canada</c:v>
                </c:pt>
                <c:pt idx="11">
                  <c:v>France</c:v>
                </c:pt>
                <c:pt idx="12">
                  <c:v>Ireland</c:v>
                </c:pt>
                <c:pt idx="13">
                  <c:v>Australia</c:v>
                </c:pt>
                <c:pt idx="14">
                  <c:v>Japan</c:v>
                </c:pt>
                <c:pt idx="15">
                  <c:v>Iceland</c:v>
                </c:pt>
                <c:pt idx="16">
                  <c:v>United Kingdom</c:v>
                </c:pt>
                <c:pt idx="17">
                  <c:v>Finland</c:v>
                </c:pt>
                <c:pt idx="18">
                  <c:v>Malta</c:v>
                </c:pt>
                <c:pt idx="19">
                  <c:v>New Zealand</c:v>
                </c:pt>
                <c:pt idx="20">
                  <c:v>US Under Lodge Practice*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data!$D$3:$D$45</c15:sqref>
                  </c15:fullRef>
                </c:ext>
              </c:extLst>
              <c:f>(data!$D$3:$D$22,data!$D$45)</c:f>
              <c:numCache>
                <c:formatCode>_-[$$-409]* #,##0.00_ ;_-[$$-409]* \-#,##0.00\ ;_-[$$-409]* "-"??_ ;_-@_ </c:formatCode>
                <c:ptCount val="21"/>
                <c:pt idx="0">
                  <c:v>1685.2550000000001</c:v>
                </c:pt>
                <c:pt idx="1">
                  <c:v>2744.7979999999998</c:v>
                </c:pt>
                <c:pt idx="2">
                  <c:v>973.60900000000004</c:v>
                </c:pt>
                <c:pt idx="3">
                  <c:v>997.60900000000004</c:v>
                </c:pt>
                <c:pt idx="4">
                  <c:v>1448.748</c:v>
                </c:pt>
                <c:pt idx="5">
                  <c:v>854.28300000000002</c:v>
                </c:pt>
                <c:pt idx="6">
                  <c:v>998.51199999999994</c:v>
                </c:pt>
                <c:pt idx="7">
                  <c:v>904.52</c:v>
                </c:pt>
                <c:pt idx="8">
                  <c:v>782.74599999999998</c:v>
                </c:pt>
                <c:pt idx="9">
                  <c:v>1303.2529999999999</c:v>
                </c:pt>
                <c:pt idx="10">
                  <c:v>1603.2919999999999</c:v>
                </c:pt>
                <c:pt idx="11">
                  <c:v>874.33900000000006</c:v>
                </c:pt>
                <c:pt idx="12">
                  <c:v>1356.981</c:v>
                </c:pt>
                <c:pt idx="13">
                  <c:v>1692.2360000000001</c:v>
                </c:pt>
                <c:pt idx="14">
                  <c:v>758.83399999999995</c:v>
                </c:pt>
                <c:pt idx="15">
                  <c:v>823.01</c:v>
                </c:pt>
                <c:pt idx="16">
                  <c:v>1033.549</c:v>
                </c:pt>
                <c:pt idx="17">
                  <c:v>1041.962</c:v>
                </c:pt>
                <c:pt idx="18">
                  <c:v>1491.502</c:v>
                </c:pt>
                <c:pt idx="19">
                  <c:v>860.62599999999998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E-42DA-8D61-AB00CDA55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2058719"/>
        <c:axId val="203491583"/>
      </c:barChart>
      <c:lineChart>
        <c:grouping val="standard"/>
        <c:varyColors val="0"/>
        <c:ser>
          <c:idx val="2"/>
          <c:order val="2"/>
          <c:tx>
            <c:strRef>
              <c:f>data!$E$2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data!$B$3:$B$45</c15:sqref>
                  </c15:fullRef>
                </c:ext>
              </c:extLst>
              <c:f>(data!$B$3:$B$22,data!$B$45)</c:f>
              <c:strCache>
                <c:ptCount val="21"/>
                <c:pt idx="0">
                  <c:v>United States of America</c:v>
                </c:pt>
                <c:pt idx="1">
                  <c:v>Switzerland</c:v>
                </c:pt>
                <c:pt idx="2">
                  <c:v>Norway</c:v>
                </c:pt>
                <c:pt idx="3">
                  <c:v>Germany</c:v>
                </c:pt>
                <c:pt idx="4">
                  <c:v>Austria</c:v>
                </c:pt>
                <c:pt idx="5">
                  <c:v>Sweden</c:v>
                </c:pt>
                <c:pt idx="6">
                  <c:v>Netherlands</c:v>
                </c:pt>
                <c:pt idx="7">
                  <c:v>Denmark</c:v>
                </c:pt>
                <c:pt idx="8">
                  <c:v>Luxembourg</c:v>
                </c:pt>
                <c:pt idx="9">
                  <c:v>Belgium</c:v>
                </c:pt>
                <c:pt idx="10">
                  <c:v>Canada</c:v>
                </c:pt>
                <c:pt idx="11">
                  <c:v>France</c:v>
                </c:pt>
                <c:pt idx="12">
                  <c:v>Ireland</c:v>
                </c:pt>
                <c:pt idx="13">
                  <c:v>Australia</c:v>
                </c:pt>
                <c:pt idx="14">
                  <c:v>Japan</c:v>
                </c:pt>
                <c:pt idx="15">
                  <c:v>Iceland</c:v>
                </c:pt>
                <c:pt idx="16">
                  <c:v>United Kingdom</c:v>
                </c:pt>
                <c:pt idx="17">
                  <c:v>Finland</c:v>
                </c:pt>
                <c:pt idx="18">
                  <c:v>Malta</c:v>
                </c:pt>
                <c:pt idx="19">
                  <c:v>New Zealand</c:v>
                </c:pt>
                <c:pt idx="20">
                  <c:v>US Under Lodge Practice*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data!$E$3:$E$45</c15:sqref>
                  </c15:fullRef>
                </c:ext>
              </c:extLst>
              <c:f>(data!$E$3:$E$22,data!$E$45)</c:f>
              <c:numCache>
                <c:formatCode>_-[$$-409]* #,##0.00_ ;_-[$$-409]* \-#,##0.00\ ;_-[$$-409]* "-"??_ ;_-@_ </c:formatCode>
                <c:ptCount val="21"/>
                <c:pt idx="0">
                  <c:v>11071.714</c:v>
                </c:pt>
                <c:pt idx="1">
                  <c:v>7732.4119999999994</c:v>
                </c:pt>
                <c:pt idx="2">
                  <c:v>6646.7130000000006</c:v>
                </c:pt>
                <c:pt idx="3">
                  <c:v>6645.7570000000005</c:v>
                </c:pt>
                <c:pt idx="4">
                  <c:v>5851.0550000000003</c:v>
                </c:pt>
                <c:pt idx="5">
                  <c:v>5782.2920000000004</c:v>
                </c:pt>
                <c:pt idx="6">
                  <c:v>5765.098</c:v>
                </c:pt>
                <c:pt idx="7">
                  <c:v>5567.8989999999994</c:v>
                </c:pt>
                <c:pt idx="8">
                  <c:v>5479.7820000000002</c:v>
                </c:pt>
                <c:pt idx="9">
                  <c:v>5427.9569999999994</c:v>
                </c:pt>
                <c:pt idx="10">
                  <c:v>5418.3829999999998</c:v>
                </c:pt>
                <c:pt idx="11">
                  <c:v>5375.6989999999996</c:v>
                </c:pt>
                <c:pt idx="12">
                  <c:v>5275.5429999999997</c:v>
                </c:pt>
                <c:pt idx="13">
                  <c:v>5187.4189999999999</c:v>
                </c:pt>
                <c:pt idx="14">
                  <c:v>4822.8119999999999</c:v>
                </c:pt>
                <c:pt idx="15">
                  <c:v>4811.424</c:v>
                </c:pt>
                <c:pt idx="16">
                  <c:v>4653.0569999999998</c:v>
                </c:pt>
                <c:pt idx="17">
                  <c:v>4578.42</c:v>
                </c:pt>
                <c:pt idx="18">
                  <c:v>4262.2190000000001</c:v>
                </c:pt>
                <c:pt idx="19">
                  <c:v>4203.9880000000003</c:v>
                </c:pt>
                <c:pt idx="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EE-42DA-8D61-AB00CDA55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058719"/>
        <c:axId val="203491583"/>
      </c:lineChart>
      <c:catAx>
        <c:axId val="2012058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91583"/>
        <c:crosses val="autoZero"/>
        <c:auto val="1"/>
        <c:lblAlgn val="ctr"/>
        <c:lblOffset val="100"/>
        <c:noMultiLvlLbl val="0"/>
      </c:catAx>
      <c:valAx>
        <c:axId val="20349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05871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987371730387795"/>
          <c:y val="4.0567539653256247E-2"/>
          <c:w val="0.18120105481366541"/>
          <c:h val="2.04262850252561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 horizontalDpi="360" verticalDpi="360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581023</xdr:colOff>
      <xdr:row>48</xdr:row>
      <xdr:rowOff>161922</xdr:rowOff>
    </xdr:from>
    <xdr:to>
      <xdr:col>44</xdr:col>
      <xdr:colOff>47625</xdr:colOff>
      <xdr:row>118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4D2068-18EB-47AF-8D36-2131A6340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324972</xdr:colOff>
      <xdr:row>0</xdr:row>
      <xdr:rowOff>179295</xdr:rowOff>
    </xdr:from>
    <xdr:to>
      <xdr:col>30</xdr:col>
      <xdr:colOff>571500</xdr:colOff>
      <xdr:row>48</xdr:row>
      <xdr:rowOff>163286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7350E9-4F30-4B34-A03C-97B792F76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6.96661E-8</cdr:x>
      <cdr:y>0.96636</cdr:y>
    </cdr:from>
    <cdr:to>
      <cdr:x>1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1FB5428-F05F-4589-8738-240D4D99E609}"/>
            </a:ext>
          </a:extLst>
        </cdr:cNvPr>
        <cdr:cNvSpPr txBox="1"/>
      </cdr:nvSpPr>
      <cdr:spPr>
        <a:xfrm xmlns:a="http://schemas.openxmlformats.org/drawingml/2006/main">
          <a:off x="2" y="12858753"/>
          <a:ext cx="28708350" cy="4476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1100"/>
            <a:t>OECD data from https://data.oecd.org/healthres/health-spending.htm (https://archive.ph/Q90dY)</a:t>
          </a:r>
        </a:p>
        <a:p xmlns:a="http://schemas.openxmlformats.org/drawingml/2006/main">
          <a:pPr algn="ctr"/>
          <a:r>
            <a:rPr lang="en-GB" sz="1100"/>
            <a:t>*David T. Beito, From Mutual Aid to the Welfare State: Fraternal Societies and Social Services, 1890-1967 (Chapel Hill: University of North Carolina Press, 2000): 117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6.42898E-8</cdr:x>
      <cdr:y>0.94712</cdr:y>
    </cdr:from>
    <cdr:to>
      <cdr:x>1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1FB5428-F05F-4589-8738-240D4D99E609}"/>
            </a:ext>
          </a:extLst>
        </cdr:cNvPr>
        <cdr:cNvSpPr txBox="1"/>
      </cdr:nvSpPr>
      <cdr:spPr>
        <a:xfrm xmlns:a="http://schemas.openxmlformats.org/drawingml/2006/main">
          <a:off x="1" y="8774205"/>
          <a:ext cx="15554563" cy="4898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1100"/>
            <a:t>OECD data from https://data.oecd.org/healthres/health-spending.htm (https://archive.ph/Q90dY)</a:t>
          </a:r>
        </a:p>
        <a:p xmlns:a="http://schemas.openxmlformats.org/drawingml/2006/main">
          <a:pPr algn="ctr"/>
          <a:r>
            <a:rPr lang="en-GB" sz="1100"/>
            <a:t>*David T. Beito, From Mutual Aid to the Welfare State: Fraternal Societies and Social Services, 1890-1967 (Chapel Hill: University of North Carolina Press, 2000): 117</a:t>
          </a: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2:E45" totalsRowShown="0">
  <autoFilter ref="B2:E45" xr:uid="{00000000-0009-0000-0100-000001000000}"/>
  <sortState xmlns:xlrd2="http://schemas.microsoft.com/office/spreadsheetml/2017/richdata2" ref="B3:E44">
    <sortCondition descending="1" ref="E2:E44"/>
  </sortState>
  <tableColumns count="4">
    <tableColumn id="1" xr3:uid="{00000000-0010-0000-0000-000001000000}" name="Country"/>
    <tableColumn id="2" xr3:uid="{00000000-0010-0000-0000-000002000000}" name="Public (Compulsary)" dataDxfId="2"/>
    <tableColumn id="3" xr3:uid="{00000000-0010-0000-0000-000003000000}" name="Private (Voluntary)" dataDxfId="1"/>
    <tableColumn id="4" xr3:uid="{00000000-0010-0000-0000-000004000000}" name="Total" dataDxfId="0">
      <calculatedColumnFormula>(C3+D3)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47"/>
  <sheetViews>
    <sheetView showGridLines="0" tabSelected="1" topLeftCell="A2" zoomScale="160" zoomScaleNormal="160" workbookViewId="0">
      <selection activeCell="F5" sqref="F5"/>
    </sheetView>
  </sheetViews>
  <sheetFormatPr defaultRowHeight="15" x14ac:dyDescent="0.25"/>
  <cols>
    <col min="2" max="2" width="25.7109375" customWidth="1"/>
    <col min="3" max="5" width="20.7109375" customWidth="1"/>
    <col min="23" max="23" width="9.140625" customWidth="1"/>
  </cols>
  <sheetData>
    <row r="1" spans="2:5" ht="25.5" customHeight="1" x14ac:dyDescent="0.25"/>
    <row r="2" spans="2:5" x14ac:dyDescent="0.25">
      <c r="B2" t="s">
        <v>43</v>
      </c>
      <c r="C2" t="s">
        <v>46</v>
      </c>
      <c r="D2" t="s">
        <v>47</v>
      </c>
      <c r="E2" t="s">
        <v>42</v>
      </c>
    </row>
    <row r="3" spans="2:5" x14ac:dyDescent="0.25">
      <c r="B3" t="s">
        <v>41</v>
      </c>
      <c r="C3" s="1">
        <v>9386.4590000000007</v>
      </c>
      <c r="D3" s="1">
        <v>1685.2550000000001</v>
      </c>
      <c r="E3" s="1">
        <f t="shared" ref="E3:E45" si="0">(C3+D3)</f>
        <v>11071.714</v>
      </c>
    </row>
    <row r="4" spans="2:5" x14ac:dyDescent="0.25">
      <c r="B4" t="s">
        <v>5</v>
      </c>
      <c r="C4" s="1">
        <v>4987.6139999999996</v>
      </c>
      <c r="D4" s="1">
        <v>2744.7979999999998</v>
      </c>
      <c r="E4" s="1">
        <f t="shared" si="0"/>
        <v>7732.4119999999994</v>
      </c>
    </row>
    <row r="5" spans="2:5" x14ac:dyDescent="0.25">
      <c r="B5" t="s">
        <v>32</v>
      </c>
      <c r="C5" s="1">
        <v>5673.1040000000003</v>
      </c>
      <c r="D5" s="1">
        <v>973.60900000000004</v>
      </c>
      <c r="E5" s="1">
        <f t="shared" si="0"/>
        <v>6646.7130000000006</v>
      </c>
    </row>
    <row r="6" spans="2:5" x14ac:dyDescent="0.25">
      <c r="B6" t="s">
        <v>11</v>
      </c>
      <c r="C6" s="1">
        <v>5648.1480000000001</v>
      </c>
      <c r="D6" s="1">
        <v>997.60900000000004</v>
      </c>
      <c r="E6" s="1">
        <f t="shared" si="0"/>
        <v>6645.7570000000005</v>
      </c>
    </row>
    <row r="7" spans="2:5" x14ac:dyDescent="0.25">
      <c r="B7" t="s">
        <v>1</v>
      </c>
      <c r="C7" s="1">
        <v>4402.3069999999998</v>
      </c>
      <c r="D7" s="1">
        <v>1448.748</v>
      </c>
      <c r="E7" s="1">
        <f t="shared" si="0"/>
        <v>5851.0550000000003</v>
      </c>
    </row>
    <row r="8" spans="2:5" x14ac:dyDescent="0.25">
      <c r="B8" t="s">
        <v>39</v>
      </c>
      <c r="C8" s="1">
        <v>4928.009</v>
      </c>
      <c r="D8" s="1">
        <v>854.28300000000002</v>
      </c>
      <c r="E8" s="1">
        <f t="shared" si="0"/>
        <v>5782.2920000000004</v>
      </c>
    </row>
    <row r="9" spans="2:5" x14ac:dyDescent="0.25">
      <c r="B9" t="s">
        <v>31</v>
      </c>
      <c r="C9" s="1">
        <v>4766.5860000000002</v>
      </c>
      <c r="D9" s="1">
        <v>998.51199999999994</v>
      </c>
      <c r="E9" s="1">
        <f t="shared" si="0"/>
        <v>5765.098</v>
      </c>
    </row>
    <row r="10" spans="2:5" x14ac:dyDescent="0.25">
      <c r="B10" t="s">
        <v>9</v>
      </c>
      <c r="C10" s="1">
        <v>4663.3789999999999</v>
      </c>
      <c r="D10" s="1">
        <v>904.52</v>
      </c>
      <c r="E10" s="1">
        <f t="shared" si="0"/>
        <v>5567.8989999999994</v>
      </c>
    </row>
    <row r="11" spans="2:5" x14ac:dyDescent="0.25">
      <c r="B11" t="s">
        <v>27</v>
      </c>
      <c r="C11" s="1">
        <v>4697.0360000000001</v>
      </c>
      <c r="D11" s="1">
        <v>782.74599999999998</v>
      </c>
      <c r="E11" s="1">
        <f t="shared" si="0"/>
        <v>5479.7820000000002</v>
      </c>
    </row>
    <row r="12" spans="2:5" x14ac:dyDescent="0.25">
      <c r="B12" t="s">
        <v>2</v>
      </c>
      <c r="C12" s="1">
        <v>4124.7039999999997</v>
      </c>
      <c r="D12" s="1">
        <v>1303.2529999999999</v>
      </c>
      <c r="E12" s="1">
        <f t="shared" si="0"/>
        <v>5427.9569999999994</v>
      </c>
    </row>
    <row r="13" spans="2:5" x14ac:dyDescent="0.25">
      <c r="B13" t="s">
        <v>4</v>
      </c>
      <c r="C13" s="1">
        <v>3815.0909999999999</v>
      </c>
      <c r="D13" s="1">
        <v>1603.2919999999999</v>
      </c>
      <c r="E13" s="1">
        <f t="shared" si="0"/>
        <v>5418.3829999999998</v>
      </c>
    </row>
    <row r="14" spans="2:5" x14ac:dyDescent="0.25">
      <c r="B14" t="s">
        <v>15</v>
      </c>
      <c r="C14" s="1">
        <v>4501.3599999999997</v>
      </c>
      <c r="D14" s="1">
        <v>874.33900000000006</v>
      </c>
      <c r="E14" s="1">
        <f t="shared" si="0"/>
        <v>5375.6989999999996</v>
      </c>
    </row>
    <row r="15" spans="2:5" x14ac:dyDescent="0.25">
      <c r="B15" t="s">
        <v>20</v>
      </c>
      <c r="C15" s="1">
        <v>3918.5619999999999</v>
      </c>
      <c r="D15" s="1">
        <v>1356.981</v>
      </c>
      <c r="E15" s="1">
        <f t="shared" si="0"/>
        <v>5275.5429999999997</v>
      </c>
    </row>
    <row r="16" spans="2:5" x14ac:dyDescent="0.25">
      <c r="B16" t="s">
        <v>0</v>
      </c>
      <c r="C16" s="1">
        <v>3495.183</v>
      </c>
      <c r="D16" s="1">
        <v>1692.2360000000001</v>
      </c>
      <c r="E16" s="1">
        <f t="shared" si="0"/>
        <v>5187.4189999999999</v>
      </c>
    </row>
    <row r="17" spans="2:5" x14ac:dyDescent="0.25">
      <c r="B17" t="s">
        <v>24</v>
      </c>
      <c r="C17" s="1">
        <v>4063.9780000000001</v>
      </c>
      <c r="D17" s="1">
        <v>758.83399999999995</v>
      </c>
      <c r="E17" s="1">
        <f t="shared" si="0"/>
        <v>4822.8119999999999</v>
      </c>
    </row>
    <row r="18" spans="2:5" x14ac:dyDescent="0.25">
      <c r="B18" t="s">
        <v>21</v>
      </c>
      <c r="C18" s="1">
        <v>3988.4140000000002</v>
      </c>
      <c r="D18" s="1">
        <v>823.01</v>
      </c>
      <c r="E18" s="1">
        <f t="shared" si="0"/>
        <v>4811.424</v>
      </c>
    </row>
    <row r="19" spans="2:5" x14ac:dyDescent="0.25">
      <c r="B19" t="s">
        <v>16</v>
      </c>
      <c r="C19" s="1">
        <v>3619.5079999999998</v>
      </c>
      <c r="D19" s="1">
        <v>1033.549</v>
      </c>
      <c r="E19" s="1">
        <f t="shared" si="0"/>
        <v>4653.0569999999998</v>
      </c>
    </row>
    <row r="20" spans="2:5" x14ac:dyDescent="0.25">
      <c r="B20" t="s">
        <v>14</v>
      </c>
      <c r="C20" s="1">
        <v>3536.4580000000001</v>
      </c>
      <c r="D20" s="1">
        <v>1041.962</v>
      </c>
      <c r="E20" s="1">
        <f t="shared" si="0"/>
        <v>4578.42</v>
      </c>
    </row>
    <row r="21" spans="2:5" x14ac:dyDescent="0.25">
      <c r="B21" t="s">
        <v>30</v>
      </c>
      <c r="C21" s="1">
        <v>2770.7170000000001</v>
      </c>
      <c r="D21" s="1">
        <v>1491.502</v>
      </c>
      <c r="E21" s="1">
        <f t="shared" si="0"/>
        <v>4262.2190000000001</v>
      </c>
    </row>
    <row r="22" spans="2:5" x14ac:dyDescent="0.25">
      <c r="B22" t="s">
        <v>33</v>
      </c>
      <c r="C22" s="1">
        <v>3343.3620000000001</v>
      </c>
      <c r="D22" s="1">
        <v>860.62599999999998</v>
      </c>
      <c r="E22" s="1">
        <f t="shared" si="0"/>
        <v>4203.9880000000003</v>
      </c>
    </row>
    <row r="23" spans="2:5" x14ac:dyDescent="0.25">
      <c r="B23" t="s">
        <v>23</v>
      </c>
      <c r="C23" s="1">
        <v>2705.723</v>
      </c>
      <c r="D23" s="1">
        <v>943.48299999999995</v>
      </c>
      <c r="E23" s="1">
        <f t="shared" si="0"/>
        <v>3649.2060000000001</v>
      </c>
    </row>
    <row r="24" spans="2:5" x14ac:dyDescent="0.25">
      <c r="B24" t="s">
        <v>12</v>
      </c>
      <c r="C24" s="1">
        <v>2559.598</v>
      </c>
      <c r="D24" s="1">
        <v>1056.8610000000001</v>
      </c>
      <c r="E24" s="1">
        <f t="shared" si="0"/>
        <v>3616.4589999999998</v>
      </c>
    </row>
    <row r="25" spans="2:5" x14ac:dyDescent="0.25">
      <c r="B25" t="s">
        <v>8</v>
      </c>
      <c r="C25" s="1">
        <v>2856.183</v>
      </c>
      <c r="D25" s="1">
        <v>571.72699999999998</v>
      </c>
      <c r="E25" s="1">
        <f t="shared" si="0"/>
        <v>3427.91</v>
      </c>
    </row>
    <row r="26" spans="2:5" x14ac:dyDescent="0.25">
      <c r="B26" t="s">
        <v>25</v>
      </c>
      <c r="C26" s="1">
        <v>2057.395</v>
      </c>
      <c r="D26" s="1">
        <v>1326.7639999999999</v>
      </c>
      <c r="E26" s="1">
        <f t="shared" si="0"/>
        <v>3384.1589999999997</v>
      </c>
    </row>
    <row r="27" spans="2:5" x14ac:dyDescent="0.25">
      <c r="B27" t="s">
        <v>35</v>
      </c>
      <c r="C27" s="1">
        <v>2069.0129999999999</v>
      </c>
      <c r="D27" s="1">
        <v>1309.615</v>
      </c>
      <c r="E27" s="1">
        <f t="shared" si="0"/>
        <v>3378.6279999999997</v>
      </c>
    </row>
    <row r="28" spans="2:5" x14ac:dyDescent="0.25">
      <c r="B28" t="s">
        <v>38</v>
      </c>
      <c r="C28" s="1">
        <v>2314.1419999999998</v>
      </c>
      <c r="D28" s="1">
        <v>909.87699999999995</v>
      </c>
      <c r="E28" s="1">
        <f t="shared" si="0"/>
        <v>3224.0189999999998</v>
      </c>
    </row>
    <row r="29" spans="2:5" x14ac:dyDescent="0.25">
      <c r="B29" t="s">
        <v>22</v>
      </c>
      <c r="C29" s="1">
        <v>1889.2470000000001</v>
      </c>
      <c r="D29" s="1">
        <v>990.52599999999995</v>
      </c>
      <c r="E29" s="1">
        <f t="shared" si="0"/>
        <v>2879.7730000000001</v>
      </c>
    </row>
    <row r="30" spans="2:5" x14ac:dyDescent="0.25">
      <c r="B30" t="s">
        <v>7</v>
      </c>
      <c r="C30" s="1">
        <v>1268.829</v>
      </c>
      <c r="D30" s="1">
        <v>1521.4359999999999</v>
      </c>
      <c r="E30" s="1">
        <f t="shared" si="0"/>
        <v>2790.2649999999999</v>
      </c>
    </row>
    <row r="31" spans="2:5" x14ac:dyDescent="0.25">
      <c r="B31" t="s">
        <v>26</v>
      </c>
      <c r="C31" s="1">
        <v>1768.816</v>
      </c>
      <c r="D31" s="1">
        <v>868.702</v>
      </c>
      <c r="E31" s="1">
        <f t="shared" si="0"/>
        <v>2637.518</v>
      </c>
    </row>
    <row r="32" spans="2:5" x14ac:dyDescent="0.25">
      <c r="B32" t="s">
        <v>13</v>
      </c>
      <c r="C32" s="1">
        <v>1916.4069999999999</v>
      </c>
      <c r="D32" s="1">
        <v>662.38599999999997</v>
      </c>
      <c r="E32" s="1">
        <f t="shared" si="0"/>
        <v>2578.7929999999997</v>
      </c>
    </row>
    <row r="33" spans="2:5" x14ac:dyDescent="0.25">
      <c r="B33" t="s">
        <v>17</v>
      </c>
      <c r="C33" s="1">
        <v>1411.934</v>
      </c>
      <c r="D33" s="1">
        <v>970.16399999999999</v>
      </c>
      <c r="E33" s="1">
        <f t="shared" si="0"/>
        <v>2382.098</v>
      </c>
    </row>
    <row r="34" spans="2:5" x14ac:dyDescent="0.25">
      <c r="B34" t="s">
        <v>37</v>
      </c>
      <c r="C34" s="1">
        <v>1911.8720000000001</v>
      </c>
      <c r="D34" s="1">
        <v>441.77199999999999</v>
      </c>
      <c r="E34" s="1">
        <f t="shared" si="0"/>
        <v>2353.6440000000002</v>
      </c>
    </row>
    <row r="35" spans="2:5" x14ac:dyDescent="0.25">
      <c r="B35" t="s">
        <v>34</v>
      </c>
      <c r="C35" s="1">
        <v>1568.0719999999999</v>
      </c>
      <c r="D35" s="1">
        <v>661.529</v>
      </c>
      <c r="E35" s="1">
        <f t="shared" si="0"/>
        <v>2229.6009999999997</v>
      </c>
    </row>
    <row r="36" spans="2:5" x14ac:dyDescent="0.25">
      <c r="B36" t="s">
        <v>19</v>
      </c>
      <c r="C36" s="1">
        <v>1542.2619999999999</v>
      </c>
      <c r="D36" s="1">
        <v>680.16399999999999</v>
      </c>
      <c r="E36" s="1">
        <f t="shared" si="0"/>
        <v>2222.4259999999999</v>
      </c>
    </row>
    <row r="37" spans="2:5" x14ac:dyDescent="0.25">
      <c r="B37" t="s">
        <v>10</v>
      </c>
      <c r="C37" s="1">
        <v>1280.6130000000001</v>
      </c>
      <c r="D37" s="1">
        <v>878.74099999999999</v>
      </c>
      <c r="E37" s="1">
        <f t="shared" si="0"/>
        <v>2159.3540000000003</v>
      </c>
    </row>
    <row r="38" spans="2:5" x14ac:dyDescent="0.25">
      <c r="B38" t="s">
        <v>18</v>
      </c>
      <c r="C38" s="1">
        <v>1666.643</v>
      </c>
      <c r="D38" s="1">
        <v>341.25700000000001</v>
      </c>
      <c r="E38" s="1">
        <f t="shared" si="0"/>
        <v>2007.9</v>
      </c>
    </row>
    <row r="39" spans="2:5" x14ac:dyDescent="0.25">
      <c r="B39" t="s">
        <v>3</v>
      </c>
      <c r="C39" s="1">
        <v>1211.5540000000001</v>
      </c>
      <c r="D39" s="1">
        <v>784.88699999999994</v>
      </c>
      <c r="E39" s="1">
        <f t="shared" si="0"/>
        <v>1996.441</v>
      </c>
    </row>
    <row r="40" spans="2:5" x14ac:dyDescent="0.25">
      <c r="B40" t="s">
        <v>28</v>
      </c>
      <c r="C40" s="1">
        <v>1179.5329999999999</v>
      </c>
      <c r="D40" s="1">
        <v>793.03899999999999</v>
      </c>
      <c r="E40" s="1">
        <f t="shared" si="0"/>
        <v>1972.5719999999999</v>
      </c>
    </row>
    <row r="41" spans="2:5" x14ac:dyDescent="0.25">
      <c r="B41" t="s">
        <v>36</v>
      </c>
      <c r="C41" s="1">
        <v>1530.0650000000001</v>
      </c>
      <c r="D41" s="1">
        <v>376.745</v>
      </c>
      <c r="E41" s="1">
        <f t="shared" si="0"/>
        <v>1906.81</v>
      </c>
    </row>
    <row r="42" spans="2:5" x14ac:dyDescent="0.25">
      <c r="B42" t="s">
        <v>40</v>
      </c>
      <c r="C42" s="1">
        <v>1040.712</v>
      </c>
      <c r="D42" s="1">
        <v>296.46199999999999</v>
      </c>
      <c r="E42" s="1">
        <f t="shared" si="0"/>
        <v>1337.174</v>
      </c>
    </row>
    <row r="43" spans="2:5" x14ac:dyDescent="0.25">
      <c r="B43" t="s">
        <v>6</v>
      </c>
      <c r="C43" s="1">
        <v>896.03899999999999</v>
      </c>
      <c r="D43" s="1">
        <v>316.565</v>
      </c>
      <c r="E43" s="1">
        <f t="shared" si="0"/>
        <v>1212.604</v>
      </c>
    </row>
    <row r="44" spans="2:5" x14ac:dyDescent="0.25">
      <c r="B44" t="s">
        <v>29</v>
      </c>
      <c r="C44" s="1">
        <v>582.97199999999998</v>
      </c>
      <c r="D44" s="1">
        <v>570.60900000000004</v>
      </c>
      <c r="E44" s="1">
        <f t="shared" si="0"/>
        <v>1153.5810000000001</v>
      </c>
    </row>
    <row r="45" spans="2:5" x14ac:dyDescent="0.25">
      <c r="B45" t="s">
        <v>44</v>
      </c>
      <c r="C45" s="1">
        <v>0</v>
      </c>
      <c r="D45" s="1">
        <v>2</v>
      </c>
      <c r="E45" s="1">
        <f t="shared" si="0"/>
        <v>2</v>
      </c>
    </row>
    <row r="47" spans="2:5" x14ac:dyDescent="0.25">
      <c r="B47" t="s">
        <v>45</v>
      </c>
    </row>
  </sheetData>
  <conditionalFormatting sqref="C3:E4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cp:lastPrinted>2021-06-09T12:00:30Z</cp:lastPrinted>
  <dcterms:created xsi:type="dcterms:W3CDTF">2021-06-09T10:59:07Z</dcterms:created>
  <dcterms:modified xsi:type="dcterms:W3CDTF">2021-06-09T16:45:36Z</dcterms:modified>
</cp:coreProperties>
</file>